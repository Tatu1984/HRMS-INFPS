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y\Desktop\"/>
    </mc:Choice>
  </mc:AlternateContent>
  <bookViews>
    <workbookView xWindow="0" yWindow="0" windowWidth="20490" windowHeight="7755"/>
  </bookViews>
  <sheets>
    <sheet name="Sheet2" sheetId="2" r:id="rId1"/>
    <sheet name="Sheet3" sheetId="3" r:id="rId2"/>
  </sheets>
  <functionGroups builtInGroupCount="18"/>
  <calcPr calcId="152511"/>
</workbook>
</file>

<file path=xl/calcChain.xml><?xml version="1.0" encoding="utf-8"?>
<calcChain xmlns="http://schemas.openxmlformats.org/spreadsheetml/2006/main">
  <c r="C18" i="2" l="1"/>
  <c r="C17" i="2"/>
  <c r="C16" i="2"/>
  <c r="K11" i="2"/>
  <c r="K10" i="2" s="1"/>
  <c r="C15" i="2" l="1"/>
  <c r="C14" i="2" s="1"/>
  <c r="D20" i="2" l="1"/>
  <c r="J16" i="2" s="1"/>
  <c r="J14" i="2" s="1"/>
  <c r="J15" i="2" s="1"/>
  <c r="J19" i="2" l="1"/>
  <c r="D21" i="2" s="1"/>
  <c r="D22" i="2"/>
</calcChain>
</file>

<file path=xl/sharedStrings.xml><?xml version="1.0" encoding="utf-8"?>
<sst xmlns="http://schemas.openxmlformats.org/spreadsheetml/2006/main" count="39" uniqueCount="38">
  <si>
    <t xml:space="preserve">SALARY SLIP </t>
  </si>
  <si>
    <t>Basic</t>
  </si>
  <si>
    <t>DA</t>
  </si>
  <si>
    <t>Conveyance</t>
  </si>
  <si>
    <t>Special All</t>
  </si>
  <si>
    <t>Medical All</t>
  </si>
  <si>
    <t>Gross Salary</t>
  </si>
  <si>
    <t>Deduction</t>
  </si>
  <si>
    <t>P.TAX</t>
  </si>
  <si>
    <t>TDS</t>
  </si>
  <si>
    <t>Absentiesm</t>
  </si>
  <si>
    <t>Total</t>
  </si>
  <si>
    <t>Net Salary Payable</t>
  </si>
  <si>
    <t>Employee Name :</t>
  </si>
  <si>
    <t>Employee Code  :</t>
  </si>
  <si>
    <t>Month/Year         :</t>
  </si>
  <si>
    <t>Bank Name           :</t>
  </si>
  <si>
    <t>Account Number :</t>
  </si>
  <si>
    <t>Days in Month          :</t>
  </si>
  <si>
    <t>No. Days Worked    :</t>
  </si>
  <si>
    <t>Weekly Off                :</t>
  </si>
  <si>
    <t>Leaves                         :</t>
  </si>
  <si>
    <t>Loss Of Pay                :</t>
  </si>
  <si>
    <t>Payable Days            :</t>
  </si>
  <si>
    <t>Location                      :</t>
  </si>
  <si>
    <t>Human Resource</t>
  </si>
  <si>
    <t>Authorized Signatory Stamp</t>
  </si>
  <si>
    <t>PAN NUMBER     :</t>
  </si>
  <si>
    <t>Amount In words :</t>
  </si>
  <si>
    <t>Perf Bonus</t>
  </si>
  <si>
    <t>State Bank of India</t>
  </si>
  <si>
    <t>Sudipto Mitra</t>
  </si>
  <si>
    <t>VRMBS0039</t>
  </si>
  <si>
    <t>VRM Business Services Pvt Ltd</t>
  </si>
  <si>
    <t>Godrej Genesis Building 12th floor Unit 1203</t>
  </si>
  <si>
    <t>Kolkata-700091</t>
  </si>
  <si>
    <t>Kolkata</t>
  </si>
  <si>
    <t>BOCPM1160E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</si>
</sst>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Rs.-4009]\ #,##0"/>
  </numFmts>
  <fonts count="3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2" borderId="18" xfId="0" applyFill="1" applyBorder="1"/>
    <xf numFmtId="0" fontId="0" fillId="0" borderId="0" xfId="0" applyAlignment="1">
      <alignment vertical="center"/>
    </xf>
    <xf numFmtId="0" fontId="1" fillId="0" borderId="4" xfId="0" applyFont="1" applyBorder="1" applyAlignment="1">
      <alignment vertical="center" wrapText="1"/>
    </xf>
    <xf numFmtId="0" fontId="1" fillId="0" borderId="5" xfId="0" applyFont="1" applyBorder="1" applyAlignment="1">
      <alignment vertical="center"/>
    </xf>
    <xf numFmtId="0" fontId="1" fillId="0" borderId="0" xfId="0" applyFont="1" applyBorder="1" applyAlignment="1">
      <alignment vertical="center" wrapText="1"/>
    </xf>
    <xf numFmtId="0" fontId="1" fillId="0" borderId="0" xfId="0" applyFont="1" applyBorder="1" applyAlignment="1">
      <alignment vertical="center"/>
    </xf>
    <xf numFmtId="0" fontId="1" fillId="0" borderId="6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1" fontId="2" fillId="0" borderId="0" xfId="0" applyNumberFormat="1" applyFont="1" applyBorder="1" applyAlignment="1">
      <alignment horizontal="right" vertical="center"/>
    </xf>
    <xf numFmtId="164" fontId="1" fillId="0" borderId="0" xfId="0" applyNumberFormat="1" applyFont="1" applyBorder="1" applyAlignment="1">
      <alignment horizontal="right" vertical="center"/>
    </xf>
    <xf numFmtId="0" fontId="2" fillId="0" borderId="8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2" fillId="0" borderId="17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1" fillId="0" borderId="4" xfId="0" applyFont="1" applyBorder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horizontal="center" vertical="center"/>
    </xf>
    <xf numFmtId="16" fontId="2" fillId="0" borderId="0" xfId="0" applyNumberFormat="1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164" fontId="2" fillId="0" borderId="14" xfId="0" applyNumberFormat="1" applyFont="1" applyBorder="1" applyAlignment="1">
      <alignment horizontal="right" vertical="center"/>
    </xf>
    <xf numFmtId="164" fontId="2" fillId="0" borderId="15" xfId="0" applyNumberFormat="1" applyFont="1" applyBorder="1" applyAlignment="1">
      <alignment horizontal="right" vertical="center"/>
    </xf>
    <xf numFmtId="0" fontId="1" fillId="0" borderId="6" xfId="0" applyFont="1" applyBorder="1" applyAlignment="1">
      <alignment horizontal="left" vertical="center"/>
    </xf>
    <xf numFmtId="0" fontId="1" fillId="0" borderId="7" xfId="0" applyFont="1" applyBorder="1" applyAlignment="1">
      <alignment horizontal="left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right" vertical="center"/>
    </xf>
    <xf numFmtId="164" fontId="2" fillId="0" borderId="5" xfId="0" applyNumberFormat="1" applyFont="1" applyBorder="1" applyAlignment="1">
      <alignment horizontal="right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4" fontId="1" fillId="0" borderId="5" xfId="0" applyNumberFormat="1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1</xdr:row>
      <xdr:rowOff>28576</xdr:rowOff>
    </xdr:from>
    <xdr:to>
      <xdr:col>2</xdr:col>
      <xdr:colOff>66675</xdr:colOff>
      <xdr:row>4</xdr:row>
      <xdr:rowOff>142876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19076"/>
          <a:ext cx="809625" cy="685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K26"/>
  <sheetViews>
    <sheetView tabSelected="1" workbookViewId="0">
      <selection activeCell="C14" sqref="C14:D14"/>
    </sheetView>
  </sheetViews>
  <sheetFormatPr defaultRowHeight="15" x14ac:dyDescent="0.25"/>
  <cols>
    <col min="1" max="1" width="1" style="2" customWidth="1"/>
    <col min="2" max="2" width="12.140625" style="2" customWidth="1"/>
    <col min="3" max="3" width="6.7109375" style="2" customWidth="1"/>
    <col min="4" max="4" width="10.85546875" style="2" customWidth="1"/>
    <col min="5" max="5" width="9.85546875" style="2" customWidth="1"/>
    <col min="6" max="6" width="0.85546875" style="2" customWidth="1"/>
    <col min="7" max="7" width="6.42578125" style="2" customWidth="1"/>
    <col min="8" max="8" width="6.7109375" style="2" customWidth="1"/>
    <col min="9" max="9" width="7.5703125" style="2" customWidth="1"/>
    <col min="10" max="10" width="9.140625" style="2"/>
    <col min="11" max="11" width="17.42578125" style="2" customWidth="1"/>
    <col min="12" max="16384" width="9.140625" style="2"/>
  </cols>
  <sheetData>
    <row r="2" spans="2:11" ht="15" customHeight="1" x14ac:dyDescent="0.25">
      <c r="B2" s="24" t="s">
        <v>33</v>
      </c>
      <c r="C2" s="25"/>
      <c r="D2" s="25"/>
      <c r="E2" s="25"/>
      <c r="F2" s="25"/>
      <c r="G2" s="25"/>
      <c r="H2" s="25"/>
      <c r="I2" s="25"/>
      <c r="J2" s="25"/>
      <c r="K2" s="26"/>
    </row>
    <row r="3" spans="2:11" ht="15" customHeight="1" x14ac:dyDescent="0.25">
      <c r="B3" s="3"/>
      <c r="C3" s="27" t="s">
        <v>34</v>
      </c>
      <c r="D3" s="27"/>
      <c r="E3" s="27"/>
      <c r="F3" s="27"/>
      <c r="G3" s="27"/>
      <c r="H3" s="27"/>
      <c r="I3" s="27"/>
      <c r="J3" s="27"/>
      <c r="K3" s="4"/>
    </row>
    <row r="4" spans="2:11" ht="15" customHeight="1" x14ac:dyDescent="0.25">
      <c r="B4" s="3"/>
      <c r="C4" s="5"/>
      <c r="D4" s="27" t="s">
        <v>35</v>
      </c>
      <c r="E4" s="27"/>
      <c r="F4" s="27"/>
      <c r="G4" s="27"/>
      <c r="H4" s="27"/>
      <c r="I4" s="27"/>
      <c r="J4" s="6"/>
      <c r="K4" s="4"/>
    </row>
    <row r="5" spans="2:11" ht="12.75" customHeight="1" x14ac:dyDescent="0.25">
      <c r="B5" s="7"/>
      <c r="C5" s="8"/>
      <c r="D5" s="8"/>
      <c r="E5" s="28" t="s">
        <v>0</v>
      </c>
      <c r="F5" s="28"/>
      <c r="G5" s="28"/>
      <c r="H5" s="28"/>
      <c r="I5" s="9"/>
      <c r="J5" s="9"/>
      <c r="K5" s="10"/>
    </row>
    <row r="6" spans="2:11" ht="11.25" customHeight="1" x14ac:dyDescent="0.25">
      <c r="B6" s="29" t="s">
        <v>13</v>
      </c>
      <c r="C6" s="30"/>
      <c r="D6" s="31" t="s">
        <v>31</v>
      </c>
      <c r="E6" s="31"/>
      <c r="F6" s="11"/>
      <c r="G6" s="11"/>
      <c r="H6" s="30" t="s">
        <v>18</v>
      </c>
      <c r="I6" s="30"/>
      <c r="J6" s="11"/>
      <c r="K6" s="12">
        <v>31</v>
      </c>
    </row>
    <row r="7" spans="2:11" ht="12" customHeight="1" x14ac:dyDescent="0.25">
      <c r="B7" s="32" t="s">
        <v>14</v>
      </c>
      <c r="C7" s="33"/>
      <c r="D7" s="34" t="s">
        <v>32</v>
      </c>
      <c r="E7" s="34"/>
      <c r="F7" s="13"/>
      <c r="G7" s="13"/>
      <c r="H7" s="33" t="s">
        <v>19</v>
      </c>
      <c r="I7" s="33"/>
      <c r="J7" s="13"/>
      <c r="K7" s="14">
        <v>22</v>
      </c>
    </row>
    <row r="8" spans="2:11" ht="12" customHeight="1" x14ac:dyDescent="0.25">
      <c r="B8" s="32" t="s">
        <v>15</v>
      </c>
      <c r="C8" s="33"/>
      <c r="D8" s="35">
        <v>43800</v>
      </c>
      <c r="E8" s="35"/>
      <c r="F8" s="13"/>
      <c r="G8" s="13"/>
      <c r="H8" s="33" t="s">
        <v>20</v>
      </c>
      <c r="I8" s="33"/>
      <c r="J8" s="13"/>
      <c r="K8" s="14">
        <v>9</v>
      </c>
    </row>
    <row r="9" spans="2:11" ht="12" customHeight="1" x14ac:dyDescent="0.25">
      <c r="B9" s="32" t="s">
        <v>27</v>
      </c>
      <c r="C9" s="33"/>
      <c r="D9" s="34" t="s">
        <v>37</v>
      </c>
      <c r="E9" s="34"/>
      <c r="F9" s="13"/>
      <c r="G9" s="13"/>
      <c r="H9" s="33" t="s">
        <v>21</v>
      </c>
      <c r="I9" s="33"/>
      <c r="J9" s="13"/>
      <c r="K9" s="14">
        <v>0</v>
      </c>
    </row>
    <row r="10" spans="2:11" ht="10.5" customHeight="1" x14ac:dyDescent="0.25">
      <c r="B10" s="15"/>
      <c r="C10" s="13"/>
      <c r="D10" s="13"/>
      <c r="E10" s="13"/>
      <c r="F10" s="13"/>
      <c r="G10" s="13"/>
      <c r="H10" s="33" t="s">
        <v>22</v>
      </c>
      <c r="I10" s="33"/>
      <c r="J10" s="13"/>
      <c r="K10" s="14">
        <f>K6-K11</f>
        <v>0</v>
      </c>
    </row>
    <row r="11" spans="2:11" ht="12.75" customHeight="1" x14ac:dyDescent="0.25">
      <c r="B11" s="32" t="s">
        <v>16</v>
      </c>
      <c r="C11" s="33"/>
      <c r="D11" s="34" t="s">
        <v>30</v>
      </c>
      <c r="E11" s="34"/>
      <c r="F11" s="13"/>
      <c r="G11" s="13"/>
      <c r="H11" s="33" t="s">
        <v>23</v>
      </c>
      <c r="I11" s="33"/>
      <c r="J11" s="13"/>
      <c r="K11" s="14">
        <f>K9+K8+K7</f>
        <v>31</v>
      </c>
    </row>
    <row r="12" spans="2:11" ht="12.75" customHeight="1" x14ac:dyDescent="0.25">
      <c r="B12" s="41" t="s">
        <v>17</v>
      </c>
      <c r="C12" s="42"/>
      <c r="D12" s="43">
        <v>34888387813</v>
      </c>
      <c r="E12" s="43"/>
      <c r="F12" s="16"/>
      <c r="G12" s="16"/>
      <c r="H12" s="42" t="s">
        <v>24</v>
      </c>
      <c r="I12" s="42"/>
      <c r="J12" s="43" t="s">
        <v>36</v>
      </c>
      <c r="K12" s="44"/>
    </row>
    <row r="13" spans="2:11" ht="11.25" customHeight="1" thickBot="1" x14ac:dyDescent="0.3">
      <c r="B13" s="36" t="s">
        <v>6</v>
      </c>
      <c r="C13" s="37"/>
      <c r="D13" s="38"/>
      <c r="E13" s="11"/>
      <c r="F13" s="11"/>
      <c r="G13" s="11"/>
      <c r="H13" s="36" t="s">
        <v>7</v>
      </c>
      <c r="I13" s="37"/>
      <c r="J13" s="37"/>
      <c r="K13" s="38"/>
    </row>
    <row r="14" spans="2:11" ht="13.5" customHeight="1" thickTop="1" x14ac:dyDescent="0.25">
      <c r="B14" s="17" t="s">
        <v>1</v>
      </c>
      <c r="C14" s="39">
        <f>Sheet3!$C$4-SUM(Sheet2!C15:D18)</f>
        <v>34100</v>
      </c>
      <c r="D14" s="39"/>
      <c r="E14" s="13"/>
      <c r="F14" s="13"/>
      <c r="G14" s="13"/>
      <c r="H14" s="6" t="s">
        <v>8</v>
      </c>
      <c r="I14" s="13"/>
      <c r="J14" s="39">
        <f>IF(AND((Sheet3!$C$4-J16)&gt;=10001,(Sheet3!$C$4-J16)&lt;=15000),110,IF(AND((Sheet3!$C$4-J16)&gt;=15001,(Sheet3!$C$4-J16)&lt;=25000),130,IF(AND((Sheet3!$C$4-J16)&gt;=25001,(Sheet3!$C$4-J16)&lt;=40000),150,IF((Sheet3!$C$4-J16)&gt;=40001,200,0))))</f>
        <v>200</v>
      </c>
      <c r="K14" s="40"/>
    </row>
    <row r="15" spans="2:11" ht="9.75" customHeight="1" x14ac:dyDescent="0.25">
      <c r="B15" s="17" t="s">
        <v>2</v>
      </c>
      <c r="C15" s="45">
        <f>(Sheet3!$C$4-SUM(Sheet2!C16:D18))/3</f>
        <v>17050</v>
      </c>
      <c r="D15" s="45"/>
      <c r="E15" s="13"/>
      <c r="F15" s="13"/>
      <c r="G15" s="13"/>
      <c r="H15" s="6" t="s">
        <v>9</v>
      </c>
      <c r="I15" s="13"/>
      <c r="J15" s="45">
        <f>(IF(((((((Sheet3!C4-Sheet2!J14)*12)-250000)*0.05)/12)+1+(C19*5%))&lt;0,0,(((((Sheet3!C4-Sheet2!J14)*12)-250000)*0.05)/12)+1+(C19*5%)))</f>
        <v>1799.3333333333333</v>
      </c>
      <c r="K15" s="46"/>
    </row>
    <row r="16" spans="2:11" ht="11.25" customHeight="1" x14ac:dyDescent="0.25">
      <c r="B16" s="17" t="s">
        <v>3</v>
      </c>
      <c r="C16" s="45">
        <f>IF((Sheet3!$C$4*0.048)&gt;1600,1600,(Sheet3!$C$4*0.048))</f>
        <v>1600</v>
      </c>
      <c r="D16" s="45"/>
      <c r="E16" s="13"/>
      <c r="F16" s="13"/>
      <c r="G16" s="13"/>
      <c r="H16" s="6" t="s">
        <v>10</v>
      </c>
      <c r="I16" s="13"/>
      <c r="J16" s="45">
        <f>(D20/K6)*K10</f>
        <v>0</v>
      </c>
      <c r="K16" s="46"/>
    </row>
    <row r="17" spans="2:11" ht="10.5" customHeight="1" x14ac:dyDescent="0.25">
      <c r="B17" s="17" t="s">
        <v>5</v>
      </c>
      <c r="C17" s="45">
        <f>IF((Sheet3!$C$4*0.035)&gt;1250,1250,(Sheet3!$C$4*0.035))</f>
        <v>1250</v>
      </c>
      <c r="D17" s="45"/>
      <c r="E17" s="13"/>
      <c r="F17" s="13"/>
      <c r="G17" s="13"/>
      <c r="H17" s="13"/>
      <c r="I17" s="13"/>
      <c r="J17" s="34"/>
      <c r="K17" s="53"/>
    </row>
    <row r="18" spans="2:11" ht="11.25" customHeight="1" x14ac:dyDescent="0.25">
      <c r="B18" s="17" t="s">
        <v>4</v>
      </c>
      <c r="C18" s="45">
        <f>+IF((0.083*Sheet3!$C$4)&gt;3000,3000,(0.083*Sheet3!$C$4))</f>
        <v>3000</v>
      </c>
      <c r="D18" s="45"/>
      <c r="E18" s="13"/>
      <c r="F18" s="13"/>
      <c r="G18" s="13"/>
      <c r="H18" s="13"/>
      <c r="I18" s="13"/>
      <c r="J18" s="34"/>
      <c r="K18" s="53"/>
    </row>
    <row r="19" spans="2:11" ht="12" customHeight="1" x14ac:dyDescent="0.25">
      <c r="B19" s="17" t="s">
        <v>29</v>
      </c>
      <c r="C19" s="45"/>
      <c r="D19" s="45"/>
      <c r="E19" s="13"/>
      <c r="F19" s="13"/>
      <c r="G19" s="13"/>
      <c r="H19" s="57" t="s">
        <v>11</v>
      </c>
      <c r="I19" s="57"/>
      <c r="J19" s="49">
        <f>SUM(J14:K18)</f>
        <v>1999.3333333333333</v>
      </c>
      <c r="K19" s="58"/>
    </row>
    <row r="20" spans="2:11" ht="11.25" customHeight="1" x14ac:dyDescent="0.25">
      <c r="B20" s="17" t="s">
        <v>11</v>
      </c>
      <c r="C20" s="18"/>
      <c r="D20" s="19">
        <f>SUM(C14:D19)</f>
        <v>57000</v>
      </c>
      <c r="E20" s="13"/>
      <c r="F20" s="13"/>
      <c r="G20" s="13"/>
      <c r="H20" s="13"/>
      <c r="I20" s="13"/>
      <c r="J20" s="13"/>
      <c r="K20" s="14"/>
    </row>
    <row r="21" spans="2:11" x14ac:dyDescent="0.25">
      <c r="B21" s="47" t="s">
        <v>12</v>
      </c>
      <c r="C21" s="48"/>
      <c r="D21" s="49">
        <f>ROUNDDOWN((D20-J19),0)</f>
        <v>55000</v>
      </c>
      <c r="E21" s="49"/>
      <c r="F21" s="16"/>
      <c r="G21" s="16"/>
      <c r="H21" s="16"/>
      <c r="I21" s="16"/>
      <c r="J21" s="16"/>
      <c r="K21" s="20"/>
    </row>
    <row r="22" spans="2:11" x14ac:dyDescent="0.25">
      <c r="B22" s="50" t="s">
        <v>28</v>
      </c>
      <c r="C22" s="51"/>
      <c r="D22" s="51" t="str">
        <f>SpellNumber(D21)</f>
        <v xml:space="preserve">Rupees FiftyFive Thousand  Only </v>
      </c>
      <c r="E22" s="51"/>
      <c r="F22" s="51"/>
      <c r="G22" s="51"/>
      <c r="H22" s="51"/>
      <c r="I22" s="51"/>
      <c r="J22" s="51"/>
      <c r="K22" s="52"/>
    </row>
    <row r="23" spans="2:11" x14ac:dyDescent="0.25">
      <c r="B23" s="15"/>
      <c r="C23" s="13"/>
      <c r="D23" s="13"/>
      <c r="E23" s="13"/>
      <c r="F23" s="13"/>
      <c r="G23" s="13"/>
      <c r="H23" s="13"/>
      <c r="I23" s="13"/>
      <c r="J23" s="13"/>
      <c r="K23" s="14"/>
    </row>
    <row r="24" spans="2:11" ht="15.75" thickBot="1" x14ac:dyDescent="0.3">
      <c r="B24" s="15"/>
      <c r="C24" s="13"/>
      <c r="D24" s="13"/>
      <c r="E24" s="13"/>
      <c r="F24" s="13"/>
      <c r="G24" s="13"/>
      <c r="H24" s="21"/>
      <c r="I24" s="21"/>
      <c r="J24" s="21"/>
      <c r="K24" s="22"/>
    </row>
    <row r="25" spans="2:11" ht="15.75" thickTop="1" x14ac:dyDescent="0.25">
      <c r="B25" s="15"/>
      <c r="C25" s="13"/>
      <c r="D25" s="13"/>
      <c r="E25" s="13"/>
      <c r="F25" s="13"/>
      <c r="G25" s="13"/>
      <c r="H25" s="54" t="s">
        <v>25</v>
      </c>
      <c r="I25" s="54"/>
      <c r="J25" s="54"/>
      <c r="K25" s="55"/>
    </row>
    <row r="26" spans="2:11" x14ac:dyDescent="0.25">
      <c r="B26" s="23"/>
      <c r="C26" s="16"/>
      <c r="D26" s="16"/>
      <c r="E26" s="16"/>
      <c r="F26" s="16"/>
      <c r="G26" s="9"/>
      <c r="H26" s="48" t="s">
        <v>26</v>
      </c>
      <c r="I26" s="48"/>
      <c r="J26" s="48"/>
      <c r="K26" s="56"/>
    </row>
  </sheetData>
  <mergeCells count="45">
    <mergeCell ref="H25:K25"/>
    <mergeCell ref="H26:K26"/>
    <mergeCell ref="H19:I19"/>
    <mergeCell ref="J19:K19"/>
    <mergeCell ref="C15:D15"/>
    <mergeCell ref="J15:K15"/>
    <mergeCell ref="B21:C21"/>
    <mergeCell ref="D21:E21"/>
    <mergeCell ref="B22:C22"/>
    <mergeCell ref="D22:K22"/>
    <mergeCell ref="C16:D16"/>
    <mergeCell ref="J16:K16"/>
    <mergeCell ref="C17:D17"/>
    <mergeCell ref="J17:K17"/>
    <mergeCell ref="C18:D18"/>
    <mergeCell ref="J18:K18"/>
    <mergeCell ref="C19:D19"/>
    <mergeCell ref="B13:D13"/>
    <mergeCell ref="H13:K13"/>
    <mergeCell ref="C14:D14"/>
    <mergeCell ref="J14:K14"/>
    <mergeCell ref="B9:C9"/>
    <mergeCell ref="D9:E9"/>
    <mergeCell ref="H9:I9"/>
    <mergeCell ref="H10:I10"/>
    <mergeCell ref="B11:C11"/>
    <mergeCell ref="D11:E11"/>
    <mergeCell ref="H11:I11"/>
    <mergeCell ref="B12:C12"/>
    <mergeCell ref="D12:E12"/>
    <mergeCell ref="H12:I12"/>
    <mergeCell ref="J12:K12"/>
    <mergeCell ref="B7:C7"/>
    <mergeCell ref="D7:E7"/>
    <mergeCell ref="H7:I7"/>
    <mergeCell ref="B8:C8"/>
    <mergeCell ref="D8:E8"/>
    <mergeCell ref="H8:I8"/>
    <mergeCell ref="B2:K2"/>
    <mergeCell ref="C3:J3"/>
    <mergeCell ref="D4:I4"/>
    <mergeCell ref="E5:H5"/>
    <mergeCell ref="B6:C6"/>
    <mergeCell ref="D6:E6"/>
    <mergeCell ref="H6:I6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C4"/>
  <sheetViews>
    <sheetView workbookViewId="0">
      <selection activeCell="C5" sqref="C5"/>
    </sheetView>
  </sheetViews>
  <sheetFormatPr defaultRowHeight="15" x14ac:dyDescent="0.25"/>
  <sheetData>
    <row r="3" spans="3:3" ht="15.75" thickBot="1" x14ac:dyDescent="0.3"/>
    <row r="4" spans="3:3" ht="15.75" thickBot="1" x14ac:dyDescent="0.3">
      <c r="C4" s="1">
        <v>57000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Sudipto</cp:lastModifiedBy>
  <cp:lastPrinted>2018-06-26T06:08:50Z</cp:lastPrinted>
  <dcterms:created xsi:type="dcterms:W3CDTF">2018-06-26T05:00:19Z</dcterms:created>
  <dcterms:modified xsi:type="dcterms:W3CDTF">2020-02-05T04:43:16Z</dcterms:modified>
</cp:coreProperties>
</file>